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Apuração" sheetId="2" state="visible" r:id="rId4"/>
    <sheet name="Balancete Classificado" sheetId="3" state="visible" r:id="rId5"/>
    <sheet name="Log de Inconsistências" sheetId="4" state="visible" r:id="rId6"/>
    <sheet name="Auditoria Tributária" sheetId="5" state="visible" r:id="rId7"/>
  </sheets>
  <definedNames>
    <definedName function="false" hidden="true" localSheetId="4" name="_xlnm._FilterDatabase" vbProcedure="false">'Auditoria Tributária'!$A$4:$L$30</definedName>
    <definedName function="false" hidden="true" localSheetId="3" name="_xlnm._FilterDatabase" vbProcedure="false">'Log de Inconsistências'!$A$1:$H$5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<sst xmlns="http://schemas.openxmlformats.org/spreadsheetml/2006/main" count="574" uniqueCount="149">
  <si>
    <t xml:space="preserve">DASHBOARD — APURAÇÃO PIS/COFINS</t>
  </si>
  <si>
    <t xml:space="preserve">Comercial Exemplo LTDA  |  Competência 07/2026  |  Regime cumulativo</t>
  </si>
  <si>
    <t xml:space="preserve">Categoria</t>
  </si>
  <si>
    <t xml:space="preserve">Valor</t>
  </si>
  <si>
    <t xml:space="preserve">Receita Bruta Total</t>
  </si>
  <si>
    <t xml:space="preserve">Receita Excluída</t>
  </si>
  <si>
    <t xml:space="preserve">Base de Cálculo</t>
  </si>
  <si>
    <t xml:space="preserve">Total a Recolher</t>
  </si>
  <si>
    <t xml:space="preserve">Receita Tributada</t>
  </si>
  <si>
    <t xml:space="preserve">Despesa Dedutível</t>
  </si>
  <si>
    <t xml:space="preserve">PIS a Pagar</t>
  </si>
  <si>
    <t xml:space="preserve">COFINS a Pagar</t>
  </si>
  <si>
    <t xml:space="preserve">Nº de Inconsistências</t>
  </si>
  <si>
    <t xml:space="preserve">Despesa Não Dedutível</t>
  </si>
  <si>
    <t xml:space="preserve">Tributo</t>
  </si>
  <si>
    <t xml:space="preserve">Débito</t>
  </si>
  <si>
    <t xml:space="preserve">Crédito</t>
  </si>
  <si>
    <t xml:space="preserve">A Pagar</t>
  </si>
  <si>
    <t xml:space="preserve">PIS</t>
  </si>
  <si>
    <t xml:space="preserve">COFINS</t>
  </si>
  <si>
    <t xml:space="preserve">APURAÇÃO DE PIS E COFINS</t>
  </si>
  <si>
    <t xml:space="preserve">Empresa: Comercial Exemplo LTDA</t>
  </si>
  <si>
    <t xml:space="preserve">CNPJ: 12.345.678/0001-90    |    Competência: 07/2026    |    Regime: cumulativo</t>
  </si>
  <si>
    <t xml:space="preserve">PARÂMETROS (editáveis)</t>
  </si>
  <si>
    <t xml:space="preserve">Alíquota PIS</t>
  </si>
  <si>
    <t xml:space="preserve">Alíquota COFINS</t>
  </si>
  <si>
    <t xml:space="preserve">Permite crédito (1=sim, 0=não)</t>
  </si>
  <si>
    <t xml:space="preserve">COMPOSIÇÃO DA RECEITA</t>
  </si>
  <si>
    <t xml:space="preserve">(+) Receita Excluída</t>
  </si>
  <si>
    <t xml:space="preserve">(=) Receita Bruta Total</t>
  </si>
  <si>
    <t xml:space="preserve">DESPESAS</t>
  </si>
  <si>
    <t xml:space="preserve">Despesa Dedutível (base potencial de crédito)</t>
  </si>
  <si>
    <t xml:space="preserve">Despesa Dedutível que GERA crédito</t>
  </si>
  <si>
    <t xml:space="preserve">BASE DE CÁLCULO</t>
  </si>
  <si>
    <t xml:space="preserve">Base de Cálculo (Receita Tributada)</t>
  </si>
  <si>
    <t xml:space="preserve">APURAÇÃO DOS TRIBUTOS</t>
  </si>
  <si>
    <t xml:space="preserve">TOTAL</t>
  </si>
  <si>
    <t xml:space="preserve">Conta</t>
  </si>
  <si>
    <t xml:space="preserve">Descrição</t>
  </si>
  <si>
    <t xml:space="preserve">Natureza</t>
  </si>
  <si>
    <t xml:space="preserve">Classificação</t>
  </si>
  <si>
    <t xml:space="preserve">Valor Apuração</t>
  </si>
  <si>
    <t xml:space="preserve">CST PIS</t>
  </si>
  <si>
    <t xml:space="preserve">CST COFINS</t>
  </si>
  <si>
    <t xml:space="preserve">Gera Crédito</t>
  </si>
  <si>
    <t xml:space="preserve">Origem</t>
  </si>
  <si>
    <t xml:space="preserve">Confiança</t>
  </si>
  <si>
    <t xml:space="preserve">Chave</t>
  </si>
  <si>
    <t xml:space="preserve">3.1.1.001</t>
  </si>
  <si>
    <t xml:space="preserve">Receita de Venda de Mercadorias</t>
  </si>
  <si>
    <t xml:space="preserve">RECEITA</t>
  </si>
  <si>
    <t xml:space="preserve">1.0</t>
  </si>
  <si>
    <t xml:space="preserve">Não</t>
  </si>
  <si>
    <t xml:space="preserve">cadastro</t>
  </si>
  <si>
    <t xml:space="preserve">alta</t>
  </si>
  <si>
    <t xml:space="preserve">RECEITA_TRIBUTADA</t>
  </si>
  <si>
    <t xml:space="preserve">3.1.1.002</t>
  </si>
  <si>
    <t xml:space="preserve">Receita de Prestação de Serviços</t>
  </si>
  <si>
    <t xml:space="preserve">3.1.1.003</t>
  </si>
  <si>
    <t xml:space="preserve">Receita de Exportação de Mercadorias</t>
  </si>
  <si>
    <t xml:space="preserve">8.0</t>
  </si>
  <si>
    <t xml:space="preserve">RECEITA_EXCLUIDA</t>
  </si>
  <si>
    <t xml:space="preserve">3.1.2.001</t>
  </si>
  <si>
    <t xml:space="preserve">Vendas Canceladas</t>
  </si>
  <si>
    <t xml:space="preserve">3.1.2.002</t>
  </si>
  <si>
    <t xml:space="preserve">Descontos Incondicionais Concedidos</t>
  </si>
  <si>
    <t xml:space="preserve">3.1.3.001</t>
  </si>
  <si>
    <t xml:space="preserve">IPI sobre Vendas</t>
  </si>
  <si>
    <t xml:space="preserve">3.1.3.002</t>
  </si>
  <si>
    <t xml:space="preserve">ICMS Substituição Tributária</t>
  </si>
  <si>
    <t xml:space="preserve">3.2.1.001</t>
  </si>
  <si>
    <t xml:space="preserve">Receita Financeira - Juros Ativos</t>
  </si>
  <si>
    <t xml:space="preserve">3.2.2.001</t>
  </si>
  <si>
    <t xml:space="preserve">Reversão de Provisões</t>
  </si>
  <si>
    <t xml:space="preserve">3.2.3.001</t>
  </si>
  <si>
    <t xml:space="preserve">Receita de Venda de Imobilizado</t>
  </si>
  <si>
    <t xml:space="preserve">06</t>
  </si>
  <si>
    <t xml:space="preserve">palavra-chave</t>
  </si>
  <si>
    <t xml:space="preserve">media</t>
  </si>
  <si>
    <t xml:space="preserve">3.9.9.001</t>
  </si>
  <si>
    <t xml:space="preserve">Outras Receitas Operacionais</t>
  </si>
  <si>
    <t xml:space="preserve">01</t>
  </si>
  <si>
    <t xml:space="preserve">4.1.1.001</t>
  </si>
  <si>
    <t xml:space="preserve">Compra de Mercadoria para Revenda</t>
  </si>
  <si>
    <t xml:space="preserve">DESPESA</t>
  </si>
  <si>
    <t xml:space="preserve">Despesa Dedutível (gera crédito)</t>
  </si>
  <si>
    <t xml:space="preserve">50.0</t>
  </si>
  <si>
    <t xml:space="preserve">Sim</t>
  </si>
  <si>
    <t xml:space="preserve">DESPESA_DEDUTIVEL</t>
  </si>
  <si>
    <t xml:space="preserve">4.1.1.002</t>
  </si>
  <si>
    <t xml:space="preserve">Matéria-Prima Consumida</t>
  </si>
  <si>
    <t xml:space="preserve">4.1.2.001</t>
  </si>
  <si>
    <t xml:space="preserve">Energia Elétrica da Produção</t>
  </si>
  <si>
    <t xml:space="preserve">4.1.2.002</t>
  </si>
  <si>
    <t xml:space="preserve">Aluguel de Galpão Industrial</t>
  </si>
  <si>
    <t xml:space="preserve">4.1.2.003</t>
  </si>
  <si>
    <t xml:space="preserve">Frete sobre Compras</t>
  </si>
  <si>
    <t xml:space="preserve">4.1.2.004</t>
  </si>
  <si>
    <t xml:space="preserve">Depreciação de Máquinas</t>
  </si>
  <si>
    <t xml:space="preserve">4.2.1.001</t>
  </si>
  <si>
    <t xml:space="preserve">Salários e Ordenados</t>
  </si>
  <si>
    <t xml:space="preserve">70.0</t>
  </si>
  <si>
    <t xml:space="preserve">DESPESA_NAO_DEDUTIVEL</t>
  </si>
  <si>
    <t xml:space="preserve">4.2.1.002</t>
  </si>
  <si>
    <t xml:space="preserve">Encargos Sociais - FGTS/INSS</t>
  </si>
  <si>
    <t xml:space="preserve">4.2.2.001</t>
  </si>
  <si>
    <t xml:space="preserve">Despesa Financeira - Juros de Empréstimo</t>
  </si>
  <si>
    <t xml:space="preserve">4.2.3.001</t>
  </si>
  <si>
    <t xml:space="preserve">Propaganda e Publicidade</t>
  </si>
  <si>
    <t xml:space="preserve">4.2.3.002</t>
  </si>
  <si>
    <t xml:space="preserve">Material de Escritório</t>
  </si>
  <si>
    <t xml:space="preserve">4.2.4.001</t>
  </si>
  <si>
    <t xml:space="preserve">Despesas com Viagens</t>
  </si>
  <si>
    <t xml:space="preserve">70</t>
  </si>
  <si>
    <t xml:space="preserve">prefixo</t>
  </si>
  <si>
    <t xml:space="preserve">baixa</t>
  </si>
  <si>
    <t xml:space="preserve">4.9.9.001</t>
  </si>
  <si>
    <t xml:space="preserve">Outras Despesas Diversas</t>
  </si>
  <si>
    <t xml:space="preserve">1.1.1.001</t>
  </si>
  <si>
    <t xml:space="preserve">Caixa e Equivalentes de Caixa</t>
  </si>
  <si>
    <t xml:space="preserve">PATRIMONIAL</t>
  </si>
  <si>
    <t xml:space="preserve">Não Classificada / Fora da Apuração</t>
  </si>
  <si>
    <t xml:space="preserve">nan</t>
  </si>
  <si>
    <t xml:space="preserve">NAO_CLASSIFICADA</t>
  </si>
  <si>
    <t xml:space="preserve">2.3.1.001</t>
  </si>
  <si>
    <t xml:space="preserve">Capital Social</t>
  </si>
  <si>
    <t xml:space="preserve">#</t>
  </si>
  <si>
    <t xml:space="preserve">Tipo</t>
  </si>
  <si>
    <t xml:space="preserve">Detalhe</t>
  </si>
  <si>
    <t xml:space="preserve">Severidade</t>
  </si>
  <si>
    <t xml:space="preserve">Ação Sugerida</t>
  </si>
  <si>
    <t xml:space="preserve">Conta ausente no cadastro</t>
  </si>
  <si>
    <t xml:space="preserve">Não cadastrada. Classificação automática: Despesa Não Dedutível (origem: prefixo, confiança: baixa). Regra: Conta inicia com prefixo de despesa ('4',) (assumida NÃO dedutível por segurança)</t>
  </si>
  <si>
    <t xml:space="preserve">Alta</t>
  </si>
  <si>
    <t xml:space="preserve">Incluir a conta no cadastro Cofins com a classificação correta.</t>
  </si>
  <si>
    <t xml:space="preserve">Não cadastrada. Classificação automática: Receita Excluída (origem: palavra-chave, confiança: media). Regra: Descrição contém 'venda de imobilizado'</t>
  </si>
  <si>
    <t xml:space="preserve">Média</t>
  </si>
  <si>
    <t xml:space="preserve">Não cadastrada. Classificação automática: Receita Tributada (origem: palavra-chave, confiança: media). Regra: Descrição contém 'receita'</t>
  </si>
  <si>
    <t xml:space="preserve">AUDITORIA TRIBUTÁRIA — TRILHA DE DECISÃO</t>
  </si>
  <si>
    <t xml:space="preserve">Rastreabilidade de cada conta: como foi classificada, com que confiança e sua contribuição para os tributos.</t>
  </si>
  <si>
    <t xml:space="preserve">Regra Aplicada</t>
  </si>
  <si>
    <t xml:space="preserve">Base de Crédito</t>
  </si>
  <si>
    <t xml:space="preserve">PIS (linha)</t>
  </si>
  <si>
    <t xml:space="preserve">COFINS (linha)</t>
  </si>
  <si>
    <t xml:space="preserve">Classificação obtida diretamente do cadastro Cofins.</t>
  </si>
  <si>
    <t xml:space="preserve">Descrição contém 'venda de imobilizado'</t>
  </si>
  <si>
    <t xml:space="preserve">Descrição contém 'receita'</t>
  </si>
  <si>
    <t xml:space="preserve">Conta inicia com prefixo de despesa ('4',) (assumida NÃO dedutível por segurança)</t>
  </si>
  <si>
    <t xml:space="preserve">TOTAIS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</si>
</sst>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&quot;R$ &quot;#,##0.00;[RED]&quot;-R$ &quot;#,##0.00"/>
    <numFmt numFmtId="166" formatCode="0"/>
    <numFmt numFmtId="167" formatCode="&quot;R$ &quot;#,##0"/>
    <numFmt numFmtId="168" formatCode="0.0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8"/>
      <name val="Arial"/>
      <family val="0"/>
      <charset val="1"/>
    </font>
    <font>
      <b val="true"/>
      <sz val="11"/>
      <color rgb="FF44546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6"/>
      <color rgb="FF1F4E78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sz val="9"/>
      <color rgb="FF44546A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44546A"/>
        <bgColor rgb="FF1F4E78"/>
      </patternFill>
    </fill>
    <fill>
      <patternFill patternType="solid">
        <fgColor rgb="FF2E75B6"/>
        <bgColor rgb="FF4F81BD"/>
      </patternFill>
    </fill>
    <fill>
      <patternFill patternType="solid">
        <fgColor rgb="FF1F4E78"/>
        <bgColor rgb="FF44546A"/>
      </patternFill>
    </fill>
    <fill>
      <patternFill patternType="solid">
        <fgColor rgb="FFED7D31"/>
        <bgColor rgb="FFFF8080"/>
      </patternFill>
    </fill>
    <fill>
      <patternFill patternType="solid">
        <fgColor rgb="FF548235"/>
        <bgColor rgb="FF878787"/>
      </patternFill>
    </fill>
    <fill>
      <patternFill patternType="solid">
        <fgColor rgb="FFC00000"/>
        <bgColor rgb="FF800000"/>
      </patternFill>
    </fill>
    <fill>
      <patternFill patternType="solid">
        <fgColor rgb="FFDDEBF7"/>
        <bgColor rgb="FFE2EFDA"/>
      </patternFill>
    </fill>
    <fill>
      <patternFill patternType="solid">
        <fgColor rgb="FFFFF2CC"/>
        <bgColor rgb="FFFCE4E4"/>
      </patternFill>
    </fill>
    <fill>
      <patternFill patternType="solid">
        <fgColor rgb="FFE2EFDA"/>
        <bgColor rgb="FFDDEBF7"/>
      </patternFill>
    </fill>
    <fill>
      <patternFill patternType="solid">
        <fgColor rgb="FFFCE4E4"/>
        <bgColor rgb="FFF2F2F2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11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5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44546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E4E4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78787"/>
      <rgbColor rgb="FF9999FF"/>
      <rgbColor rgb="FFC0504D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E4"/>
      <rgbColor rgb="FF2E75B6"/>
      <rgbColor rgb="FF33CCCC"/>
      <rgbColor rgb="FF9BBB59"/>
      <rgbColor rgb="FFFFCC00"/>
      <rgbColor rgb="FFFF9900"/>
      <rgbColor rgb="FFED7D31"/>
      <rgbColor rgb="FF8064A2"/>
      <rgbColor rgb="FF969696"/>
      <rgbColor rgb="FF003366"/>
      <rgbColor rgb="FF4F81BD"/>
      <rgbColor rgb="FF003300"/>
      <rgbColor rgb="FF333300"/>
      <rgbColor rgb="FF993300"/>
      <rgbColor rgb="FF993366"/>
      <rgbColor rgb="FF1F4E78"/>
      <rgbColor rgb="FF44546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Composição de Receitas e Despesas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Dashboard!O4</c:f>
              <c:strCache>
                <c:ptCount val="1"/>
                <c:pt idx="0">
                  <c:v>Valor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Dashboard!$N$5:$N$8</c:f>
              <c:strCache>
                <c:ptCount val="4"/>
                <c:pt idx="0">
                  <c:v>Receita Tributada</c:v>
                </c:pt>
                <c:pt idx="1">
                  <c:v>Receita Excluída</c:v>
                </c:pt>
                <c:pt idx="2">
                  <c:v>Despesa Dedutível</c:v>
                </c:pt>
                <c:pt idx="3">
                  <c:v>Despesa Não Dedutível</c:v>
                </c:pt>
              </c:strCache>
            </c:strRef>
          </c:cat>
          <c:val>
            <c:numRef>
              <c:f>Dashboard!$O$5:$O$8</c:f>
              <c:numCache>
                <c:formatCode>"R$ "#,##0.00;[RED]"-R$ "#,##0.00</c:formatCode>
                <c:ptCount val="4"/>
                <c:pt idx="0">
                  <c:v>3337000</c:v>
                </c:pt>
                <c:pt idx="1">
                  <c:v>660000</c:v>
                </c:pt>
                <c:pt idx="2">
                  <c:v>1535000</c:v>
                </c:pt>
                <c:pt idx="3">
                  <c:v>703000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PIS e COFINS — Débito, Crédito e a Pagar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Dashboard!O11</c:f>
              <c:strCache>
                <c:ptCount val="1"/>
                <c:pt idx="0">
                  <c:v>Débito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Dashboard!$N$12:$N$13</c:f>
              <c:strCache>
                <c:ptCount val="2"/>
                <c:pt idx="0">
                  <c:v>PIS</c:v>
                </c:pt>
                <c:pt idx="1">
                  <c:v>COFINS</c:v>
                </c:pt>
              </c:strCache>
            </c:strRef>
          </c:cat>
          <c:val>
            <c:numRef>
              <c:f>Dashboard!$O$12:$O$13</c:f>
              <c:numCache>
                <c:formatCode>"R$ "#,##0.00;[RED]"-R$ "#,##0.00</c:formatCode>
                <c:ptCount val="2"/>
                <c:pt idx="0">
                  <c:v>21690.5</c:v>
                </c:pt>
                <c:pt idx="1">
                  <c:v>100110</c:v>
                </c:pt>
              </c:numCache>
            </c:numRef>
          </c:val>
        </c:ser>
        <c:ser>
          <c:idx val="1"/>
          <c:order val="1"/>
          <c:tx>
            <c:strRef>
              <c:f>Dashboard!P11</c:f>
              <c:strCache>
                <c:ptCount val="1"/>
                <c:pt idx="0">
                  <c:v>Crédito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Dashboard!$N$12:$N$13</c:f>
              <c:strCache>
                <c:ptCount val="2"/>
                <c:pt idx="0">
                  <c:v>PIS</c:v>
                </c:pt>
                <c:pt idx="1">
                  <c:v>COFINS</c:v>
                </c:pt>
              </c:strCache>
            </c:strRef>
          </c:cat>
          <c:val>
            <c:numRef>
              <c:f>Dashboard!$P$12:$P$13</c:f>
              <c:numCache>
                <c:formatCode>"R$ "#,##0.00;[RED]"-R$ "#,##0.00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2"/>
          <c:order val="2"/>
          <c:tx>
            <c:strRef>
              <c:f>Dashboard!Q11</c:f>
              <c:strCache>
                <c:ptCount val="1"/>
                <c:pt idx="0">
                  <c:v>A Pagar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Dashboard!$N$12:$N$13</c:f>
              <c:strCache>
                <c:ptCount val="2"/>
                <c:pt idx="0">
                  <c:v>PIS</c:v>
                </c:pt>
                <c:pt idx="1">
                  <c:v>COFINS</c:v>
                </c:pt>
              </c:strCache>
            </c:strRef>
          </c:cat>
          <c:val>
            <c:numRef>
              <c:f>Dashboard!$Q$12:$Q$13</c:f>
              <c:numCache>
                <c:formatCode>"R$ "#,##0.00;[RED]"-R$ "#,##0.00</c:formatCode>
                <c:ptCount val="2"/>
                <c:pt idx="0">
                  <c:v>21690.5</c:v>
                </c:pt>
                <c:pt idx="1">
                  <c:v>100110</c:v>
                </c:pt>
              </c:numCache>
            </c:numRef>
          </c:val>
        </c:ser>
        <c:gapWidth val="150"/>
        <c:overlap val="0"/>
        <c:axId val="76466819"/>
        <c:axId val="92679879"/>
      </c:barChart>
      <c:catAx>
        <c:axId val="764668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679879"/>
        <c:crosses val="autoZero"/>
        <c:auto val="1"/>
        <c:lblAlgn val="ctr"/>
        <c:lblOffset val="100"/>
        <c:noMultiLvlLbl val="0"/>
      </c:catAx>
      <c:valAx>
        <c:axId val="92679879"/>
        <c:scaling>
          <c:orientation val="minMax"/>
        </c:scaling>
        <c:delete val="0"/>
        <c:axPos val="l"/>
        <c:numFmt formatCode="&quot;R$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46681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10</xdr:row>
      <xdr:rowOff>41400</xdr:rowOff>
    </xdr:from>
    <xdr:to>
      <xdr:col>4</xdr:col>
      <xdr:colOff>936360</xdr:colOff>
      <xdr:row>24</xdr:row>
      <xdr:rowOff>73800</xdr:rowOff>
    </xdr:to>
    <xdr:graphicFrame>
      <xdr:nvGraphicFramePr>
        <xdr:cNvPr id="0" name="Chart 1"/>
        <xdr:cNvGraphicFramePr/>
      </xdr:nvGraphicFramePr>
      <xdr:xfrm>
        <a:off x="141120" y="2095560"/>
        <a:ext cx="43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26</xdr:row>
      <xdr:rowOff>41400</xdr:rowOff>
    </xdr:from>
    <xdr:to>
      <xdr:col>5</xdr:col>
      <xdr:colOff>528840</xdr:colOff>
      <xdr:row>40</xdr:row>
      <xdr:rowOff>74160</xdr:rowOff>
    </xdr:to>
    <xdr:graphicFrame>
      <xdr:nvGraphicFramePr>
        <xdr:cNvPr id="1" name="Chart 2"/>
        <xdr:cNvGraphicFramePr/>
      </xdr:nvGraphicFramePr>
      <xdr:xfrm>
        <a:off x="141120" y="514368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Q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9" min="2" style="0" width="16"/>
    <col collapsed="false" customWidth="true" hidden="false" outlineLevel="0" max="14" min="14" style="0" width="22"/>
    <col collapsed="false" customWidth="true" hidden="false" outlineLevel="0" max="17" min="15" style="0" width="14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N4" s="3" t="s">
        <v>2</v>
      </c>
      <c r="O4" s="3" t="s">
        <v>3</v>
      </c>
    </row>
    <row r="5" customFormat="false" ht="15" hidden="false" customHeight="true" outlineLevel="0" collapsed="false">
      <c r="B5" s="4" t="s">
        <v>4</v>
      </c>
      <c r="C5" s="4"/>
      <c r="D5" s="4" t="s">
        <v>5</v>
      </c>
      <c r="E5" s="4"/>
      <c r="F5" s="5" t="s">
        <v>6</v>
      </c>
      <c r="G5" s="5"/>
      <c r="H5" s="6" t="s">
        <v>7</v>
      </c>
      <c r="I5" s="6"/>
      <c r="N5" s="7" t="s">
        <v>8</v>
      </c>
      <c r="O5" s="8" t="n">
        <f aca="false">Apuração!B11</f>
        <v>3337000</v>
      </c>
    </row>
    <row r="6" customFormat="false" ht="17.35" hidden="false" customHeight="false" outlineLevel="0" collapsed="false">
      <c r="B6" s="9" t="n">
        <f aca="false">Apuração!B13</f>
        <v>3997000</v>
      </c>
      <c r="C6" s="9"/>
      <c r="D6" s="9" t="n">
        <f aca="false">Apuração!B12</f>
        <v>660000</v>
      </c>
      <c r="E6" s="9"/>
      <c r="F6" s="10" t="n">
        <f aca="false">Apuração!B21</f>
        <v>3337000</v>
      </c>
      <c r="G6" s="10"/>
      <c r="H6" s="11" t="n">
        <f aca="false">Apuração!D27</f>
        <v>121800.5</v>
      </c>
      <c r="I6" s="11"/>
      <c r="N6" s="7" t="s">
        <v>5</v>
      </c>
      <c r="O6" s="8" t="n">
        <f aca="false">Apuração!B12</f>
        <v>660000</v>
      </c>
    </row>
    <row r="7" customFormat="false" ht="15" hidden="false" customHeight="false" outlineLevel="0" collapsed="false">
      <c r="N7" s="7" t="s">
        <v>9</v>
      </c>
      <c r="O7" s="8" t="n">
        <f aca="false">Apuração!B16</f>
        <v>1535000</v>
      </c>
    </row>
    <row r="8" customFormat="false" ht="15" hidden="false" customHeight="true" outlineLevel="0" collapsed="false">
      <c r="B8" s="12" t="s">
        <v>10</v>
      </c>
      <c r="C8" s="12"/>
      <c r="D8" s="12" t="s">
        <v>11</v>
      </c>
      <c r="E8" s="12"/>
      <c r="F8" s="13" t="s">
        <v>9</v>
      </c>
      <c r="G8" s="13"/>
      <c r="H8" s="14" t="s">
        <v>12</v>
      </c>
      <c r="I8" s="14"/>
      <c r="N8" s="7" t="s">
        <v>13</v>
      </c>
      <c r="O8" s="8" t="n">
        <f aca="false">Apuração!B18</f>
        <v>703000</v>
      </c>
    </row>
    <row r="9" customFormat="false" ht="17.35" hidden="false" customHeight="false" outlineLevel="0" collapsed="false">
      <c r="B9" s="15" t="n">
        <f aca="false">Apuração!D25</f>
        <v>21690.5</v>
      </c>
      <c r="C9" s="15"/>
      <c r="D9" s="15" t="n">
        <f aca="false">Apuração!D26</f>
        <v>100110</v>
      </c>
      <c r="E9" s="15"/>
      <c r="F9" s="16" t="n">
        <f aca="false">Apuração!B16</f>
        <v>1535000</v>
      </c>
      <c r="G9" s="16"/>
      <c r="H9" s="17" t="n">
        <v>4</v>
      </c>
      <c r="I9" s="17"/>
    </row>
    <row r="11" customFormat="false" ht="15" hidden="false" customHeight="false" outlineLevel="0" collapsed="false">
      <c r="N11" s="3" t="s">
        <v>14</v>
      </c>
      <c r="O11" s="3" t="s">
        <v>15</v>
      </c>
      <c r="P11" s="3" t="s">
        <v>16</v>
      </c>
      <c r="Q11" s="3" t="s">
        <v>17</v>
      </c>
    </row>
    <row r="12" customFormat="false" ht="15" hidden="false" customHeight="false" outlineLevel="0" collapsed="false">
      <c r="N12" s="7" t="s">
        <v>18</v>
      </c>
      <c r="O12" s="18" t="n">
        <f aca="false">Apuração!B25</f>
        <v>21690.5</v>
      </c>
      <c r="P12" s="18" t="n">
        <f aca="false">Apuração!C25</f>
        <v>0</v>
      </c>
      <c r="Q12" s="18" t="n">
        <f aca="false">Apuração!D25</f>
        <v>21690.5</v>
      </c>
    </row>
    <row r="13" customFormat="false" ht="15" hidden="false" customHeight="false" outlineLevel="0" collapsed="false">
      <c r="N13" s="7" t="s">
        <v>19</v>
      </c>
      <c r="O13" s="18" t="n">
        <f aca="false">Apuração!B26</f>
        <v>100110</v>
      </c>
      <c r="P13" s="18" t="n">
        <f aca="false">Apuração!C26</f>
        <v>0</v>
      </c>
      <c r="Q13" s="18" t="n">
        <f aca="false">Apuração!D26</f>
        <v>100110</v>
      </c>
    </row>
  </sheetData>
  <mergeCells count="16">
    <mergeCell ref="B5:C5"/>
    <mergeCell ref="D5:E5"/>
    <mergeCell ref="F5:G5"/>
    <mergeCell ref="H5:I5"/>
    <mergeCell ref="B6:C6"/>
    <mergeCell ref="D6:E6"/>
    <mergeCell ref="F6:G6"/>
    <mergeCell ref="H6:I6"/>
    <mergeCell ref="B8:C8"/>
    <mergeCell ref="D8:E8"/>
    <mergeCell ref="F8:G8"/>
    <mergeCell ref="H8:I8"/>
    <mergeCell ref="B9:C9"/>
    <mergeCell ref="D9:E9"/>
    <mergeCell ref="F9:G9"/>
    <mergeCell ref="H9:I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18"/>
  </cols>
  <sheetData>
    <row r="1" customFormat="false" ht="19.7" hidden="false" customHeight="false" outlineLevel="0" collapsed="false">
      <c r="A1" s="19" t="s">
        <v>20</v>
      </c>
    </row>
    <row r="2" customFormat="false" ht="15" hidden="false" customHeight="false" outlineLevel="0" collapsed="false">
      <c r="A2" s="20" t="s">
        <v>21</v>
      </c>
    </row>
    <row r="3" customFormat="false" ht="15" hidden="false" customHeight="false" outlineLevel="0" collapsed="false">
      <c r="A3" s="21" t="s">
        <v>22</v>
      </c>
    </row>
    <row r="5" customFormat="false" ht="15" hidden="false" customHeight="false" outlineLevel="0" collapsed="false">
      <c r="A5" s="22" t="s">
        <v>23</v>
      </c>
      <c r="B5" s="22"/>
    </row>
    <row r="6" customFormat="false" ht="15" hidden="false" customHeight="false" outlineLevel="0" collapsed="false">
      <c r="A6" s="20" t="s">
        <v>24</v>
      </c>
      <c r="B6" s="23" t="n">
        <v>0.0065</v>
      </c>
    </row>
    <row r="7" customFormat="false" ht="15" hidden="false" customHeight="false" outlineLevel="0" collapsed="false">
      <c r="A7" s="20" t="s">
        <v>25</v>
      </c>
      <c r="B7" s="23" t="n">
        <v>0.03</v>
      </c>
    </row>
    <row r="8" customFormat="false" ht="15" hidden="false" customHeight="false" outlineLevel="0" collapsed="false">
      <c r="A8" s="20" t="s">
        <v>26</v>
      </c>
      <c r="B8" s="24" t="n">
        <v>0</v>
      </c>
    </row>
    <row r="10" customFormat="false" ht="15" hidden="false" customHeight="false" outlineLevel="0" collapsed="false">
      <c r="A10" s="25" t="s">
        <v>27</v>
      </c>
      <c r="B10" s="25"/>
    </row>
    <row r="11" customFormat="false" ht="15" hidden="false" customHeight="false" outlineLevel="0" collapsed="false">
      <c r="A11" s="20" t="s">
        <v>8</v>
      </c>
      <c r="B11" s="8" t="n">
        <f aca="false">SUMIFS('Balancete Classificado'!$E$2:$E$28,'Balancete Classificado'!$K$2:$K$28,"RECEITA_TRIBUTADA")</f>
        <v>3337000</v>
      </c>
    </row>
    <row r="12" customFormat="false" ht="15" hidden="false" customHeight="false" outlineLevel="0" collapsed="false">
      <c r="A12" s="20" t="s">
        <v>28</v>
      </c>
      <c r="B12" s="8" t="n">
        <f aca="false">SUMIFS('Balancete Classificado'!$E$2:$E$28,'Balancete Classificado'!$K$2:$K$28,"RECEITA_EXCLUIDA")</f>
        <v>660000</v>
      </c>
    </row>
    <row r="13" customFormat="false" ht="15" hidden="false" customHeight="false" outlineLevel="0" collapsed="false">
      <c r="A13" s="21" t="s">
        <v>29</v>
      </c>
      <c r="B13" s="26" t="n">
        <f aca="false">B11+B12</f>
        <v>3997000</v>
      </c>
    </row>
    <row r="15" customFormat="false" ht="15" hidden="false" customHeight="false" outlineLevel="0" collapsed="false">
      <c r="A15" s="25" t="s">
        <v>30</v>
      </c>
      <c r="B15" s="25"/>
    </row>
    <row r="16" customFormat="false" ht="15" hidden="false" customHeight="false" outlineLevel="0" collapsed="false">
      <c r="A16" s="20" t="s">
        <v>31</v>
      </c>
      <c r="B16" s="8" t="n">
        <f aca="false">SUMIFS('Balancete Classificado'!$E$2:$E$28,'Balancete Classificado'!$K$2:$K$28,"DESPESA_DEDUTIVEL")</f>
        <v>1535000</v>
      </c>
    </row>
    <row r="17" customFormat="false" ht="15" hidden="false" customHeight="false" outlineLevel="0" collapsed="false">
      <c r="A17" s="20" t="s">
        <v>32</v>
      </c>
      <c r="B17" s="8" t="n">
        <f aca="false">SUMIFS('Balancete Classificado'!$E$2:$E$28,'Balancete Classificado'!$K$2:$K$28,"DESPESA_DEDUTIVEL",'Balancete Classificado'!$H$2:$H$28,"Sim")</f>
        <v>1535000</v>
      </c>
    </row>
    <row r="18" customFormat="false" ht="15" hidden="false" customHeight="false" outlineLevel="0" collapsed="false">
      <c r="A18" s="20" t="s">
        <v>13</v>
      </c>
      <c r="B18" s="8" t="n">
        <f aca="false">SUMIFS('Balancete Classificado'!$E$2:$E$28,'Balancete Classificado'!$K$2:$K$28,"DESPESA_NAO_DEDUTIVEL")</f>
        <v>703000</v>
      </c>
    </row>
    <row r="20" customFormat="false" ht="15" hidden="false" customHeight="false" outlineLevel="0" collapsed="false">
      <c r="A20" s="27" t="s">
        <v>33</v>
      </c>
      <c r="B20" s="27"/>
    </row>
    <row r="21" customFormat="false" ht="15" hidden="false" customHeight="false" outlineLevel="0" collapsed="false">
      <c r="A21" s="21" t="s">
        <v>34</v>
      </c>
      <c r="B21" s="28" t="n">
        <f aca="false">B11</f>
        <v>3337000</v>
      </c>
    </row>
    <row r="23" customFormat="false" ht="15" hidden="false" customHeight="false" outlineLevel="0" collapsed="false">
      <c r="A23" s="27" t="s">
        <v>35</v>
      </c>
      <c r="B23" s="27"/>
      <c r="C23" s="27"/>
      <c r="D23" s="27"/>
    </row>
    <row r="24" customFormat="false" ht="15" hidden="false" customHeight="false" outlineLevel="0" collapsed="false">
      <c r="A24" s="13" t="s">
        <v>14</v>
      </c>
      <c r="B24" s="13" t="s">
        <v>15</v>
      </c>
      <c r="C24" s="13" t="s">
        <v>16</v>
      </c>
      <c r="D24" s="13" t="s">
        <v>17</v>
      </c>
    </row>
    <row r="25" customFormat="false" ht="15" hidden="false" customHeight="false" outlineLevel="0" collapsed="false">
      <c r="A25" s="29" t="s">
        <v>18</v>
      </c>
      <c r="B25" s="8" t="n">
        <f aca="false">B21*$B$6</f>
        <v>21690.5</v>
      </c>
      <c r="C25" s="8" t="n">
        <f aca="false">B17*$B$6*$B$8</f>
        <v>0</v>
      </c>
      <c r="D25" s="30" t="n">
        <f aca="false">MAX(B25-C25,0)</f>
        <v>21690.5</v>
      </c>
    </row>
    <row r="26" customFormat="false" ht="15" hidden="false" customHeight="false" outlineLevel="0" collapsed="false">
      <c r="A26" s="29" t="s">
        <v>19</v>
      </c>
      <c r="B26" s="8" t="n">
        <f aca="false">B21*$B$7</f>
        <v>100110</v>
      </c>
      <c r="C26" s="8" t="n">
        <f aca="false">B17*$B$7*$B$8</f>
        <v>0</v>
      </c>
      <c r="D26" s="30" t="n">
        <f aca="false">MAX(B26-C26,0)</f>
        <v>100110</v>
      </c>
    </row>
    <row r="27" customFormat="false" ht="15" hidden="false" customHeight="false" outlineLevel="0" collapsed="false">
      <c r="A27" s="31" t="s">
        <v>36</v>
      </c>
      <c r="B27" s="26" t="n">
        <f aca="false">SUM(B25:B26)</f>
        <v>121800.5</v>
      </c>
      <c r="C27" s="26" t="n">
        <f aca="false">SUM(C25:C26)</f>
        <v>0</v>
      </c>
      <c r="D27" s="32" t="n">
        <f aca="false">SUM(D25:D26)</f>
        <v>121800.5</v>
      </c>
    </row>
  </sheetData>
  <mergeCells count="5">
    <mergeCell ref="A5:B5"/>
    <mergeCell ref="A10:B10"/>
    <mergeCell ref="A15:B15"/>
    <mergeCell ref="A20:B20"/>
    <mergeCell ref="A23:D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2"/>
    <col collapsed="false" customWidth="true" hidden="false" outlineLevel="0" max="3" min="3" style="0" width="13"/>
    <col collapsed="false" customWidth="true" hidden="false" outlineLevel="0" max="4" min="4" style="0" width="24"/>
    <col collapsed="false" customWidth="true" hidden="false" outlineLevel="0" max="5" min="5" style="0" width="16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1"/>
    <col collapsed="false" customWidth="true" hidden="true" outlineLevel="0" max="11" min="11" style="0" width="10"/>
  </cols>
  <sheetData>
    <row r="1" customFormat="false" ht="23.85" hidden="false" customHeight="false" outlineLevel="0" collapsed="false">
      <c r="A1" s="13" t="s">
        <v>37</v>
      </c>
      <c r="B1" s="13" t="s">
        <v>38</v>
      </c>
      <c r="C1" s="13" t="s">
        <v>39</v>
      </c>
      <c r="D1" s="13" t="s">
        <v>40</v>
      </c>
      <c r="E1" s="13" t="s">
        <v>41</v>
      </c>
      <c r="F1" s="13" t="s">
        <v>42</v>
      </c>
      <c r="G1" s="13" t="s">
        <v>43</v>
      </c>
      <c r="H1" s="13" t="s">
        <v>44</v>
      </c>
      <c r="I1" s="13" t="s">
        <v>45</v>
      </c>
      <c r="J1" s="13" t="s">
        <v>46</v>
      </c>
      <c r="K1" s="13" t="s">
        <v>47</v>
      </c>
    </row>
    <row r="2" customFormat="false" ht="15" hidden="false" customHeight="false" outlineLevel="0" collapsed="false">
      <c r="A2" s="33" t="s">
        <v>48</v>
      </c>
      <c r="B2" s="33" t="s">
        <v>49</v>
      </c>
      <c r="C2" s="34" t="s">
        <v>50</v>
      </c>
      <c r="D2" s="35" t="s">
        <v>8</v>
      </c>
      <c r="E2" s="36" t="n">
        <v>2500000</v>
      </c>
      <c r="F2" s="34" t="s">
        <v>51</v>
      </c>
      <c r="G2" s="34" t="s">
        <v>51</v>
      </c>
      <c r="H2" s="34" t="s">
        <v>52</v>
      </c>
      <c r="I2" s="34" t="s">
        <v>53</v>
      </c>
      <c r="J2" s="34" t="s">
        <v>54</v>
      </c>
      <c r="K2" s="33" t="s">
        <v>55</v>
      </c>
    </row>
    <row r="3" customFormat="false" ht="15" hidden="false" customHeight="false" outlineLevel="0" collapsed="false">
      <c r="A3" s="33" t="s">
        <v>56</v>
      </c>
      <c r="B3" s="33" t="s">
        <v>57</v>
      </c>
      <c r="C3" s="34" t="s">
        <v>50</v>
      </c>
      <c r="D3" s="35" t="s">
        <v>8</v>
      </c>
      <c r="E3" s="36" t="n">
        <v>800000</v>
      </c>
      <c r="F3" s="34" t="s">
        <v>51</v>
      </c>
      <c r="G3" s="34" t="s">
        <v>51</v>
      </c>
      <c r="H3" s="34" t="s">
        <v>52</v>
      </c>
      <c r="I3" s="34" t="s">
        <v>53</v>
      </c>
      <c r="J3" s="34" t="s">
        <v>54</v>
      </c>
      <c r="K3" s="33" t="s">
        <v>55</v>
      </c>
    </row>
    <row r="4" customFormat="false" ht="15" hidden="false" customHeight="false" outlineLevel="0" collapsed="false">
      <c r="A4" s="33" t="s">
        <v>58</v>
      </c>
      <c r="B4" s="33" t="s">
        <v>59</v>
      </c>
      <c r="C4" s="34" t="s">
        <v>50</v>
      </c>
      <c r="D4" s="37" t="s">
        <v>5</v>
      </c>
      <c r="E4" s="36" t="n">
        <v>400000</v>
      </c>
      <c r="F4" s="34" t="s">
        <v>60</v>
      </c>
      <c r="G4" s="34" t="s">
        <v>60</v>
      </c>
      <c r="H4" s="34" t="s">
        <v>52</v>
      </c>
      <c r="I4" s="34" t="s">
        <v>53</v>
      </c>
      <c r="J4" s="34" t="s">
        <v>54</v>
      </c>
      <c r="K4" s="33" t="s">
        <v>61</v>
      </c>
    </row>
    <row r="5" customFormat="false" ht="15" hidden="false" customHeight="false" outlineLevel="0" collapsed="false">
      <c r="A5" s="33" t="s">
        <v>62</v>
      </c>
      <c r="B5" s="33" t="s">
        <v>63</v>
      </c>
      <c r="C5" s="34" t="s">
        <v>50</v>
      </c>
      <c r="D5" s="37" t="s">
        <v>5</v>
      </c>
      <c r="E5" s="36" t="n">
        <v>60000</v>
      </c>
      <c r="F5" s="34" t="s">
        <v>51</v>
      </c>
      <c r="G5" s="34" t="s">
        <v>51</v>
      </c>
      <c r="H5" s="34" t="s">
        <v>52</v>
      </c>
      <c r="I5" s="34" t="s">
        <v>53</v>
      </c>
      <c r="J5" s="34" t="s">
        <v>54</v>
      </c>
      <c r="K5" s="33" t="s">
        <v>61</v>
      </c>
    </row>
    <row r="6" customFormat="false" ht="15" hidden="false" customHeight="false" outlineLevel="0" collapsed="false">
      <c r="A6" s="33" t="s">
        <v>64</v>
      </c>
      <c r="B6" s="33" t="s">
        <v>65</v>
      </c>
      <c r="C6" s="34" t="s">
        <v>50</v>
      </c>
      <c r="D6" s="37" t="s">
        <v>5</v>
      </c>
      <c r="E6" s="36" t="n">
        <v>45000</v>
      </c>
      <c r="F6" s="34" t="s">
        <v>51</v>
      </c>
      <c r="G6" s="34" t="s">
        <v>51</v>
      </c>
      <c r="H6" s="34" t="s">
        <v>52</v>
      </c>
      <c r="I6" s="34" t="s">
        <v>53</v>
      </c>
      <c r="J6" s="34" t="s">
        <v>54</v>
      </c>
      <c r="K6" s="33" t="s">
        <v>61</v>
      </c>
    </row>
    <row r="7" customFormat="false" ht="15" hidden="false" customHeight="false" outlineLevel="0" collapsed="false">
      <c r="A7" s="33" t="s">
        <v>66</v>
      </c>
      <c r="B7" s="33" t="s">
        <v>67</v>
      </c>
      <c r="C7" s="34" t="s">
        <v>50</v>
      </c>
      <c r="D7" s="37" t="s">
        <v>5</v>
      </c>
      <c r="E7" s="36" t="n">
        <v>90000</v>
      </c>
      <c r="F7" s="34" t="s">
        <v>51</v>
      </c>
      <c r="G7" s="34" t="s">
        <v>51</v>
      </c>
      <c r="H7" s="34" t="s">
        <v>52</v>
      </c>
      <c r="I7" s="34" t="s">
        <v>53</v>
      </c>
      <c r="J7" s="34" t="s">
        <v>54</v>
      </c>
      <c r="K7" s="33" t="s">
        <v>61</v>
      </c>
    </row>
    <row r="8" customFormat="false" ht="15" hidden="false" customHeight="false" outlineLevel="0" collapsed="false">
      <c r="A8" s="33" t="s">
        <v>68</v>
      </c>
      <c r="B8" s="33" t="s">
        <v>69</v>
      </c>
      <c r="C8" s="34" t="s">
        <v>50</v>
      </c>
      <c r="D8" s="37" t="s">
        <v>5</v>
      </c>
      <c r="E8" s="36" t="n">
        <v>30000</v>
      </c>
      <c r="F8" s="34" t="s">
        <v>51</v>
      </c>
      <c r="G8" s="34" t="s">
        <v>51</v>
      </c>
      <c r="H8" s="34" t="s">
        <v>52</v>
      </c>
      <c r="I8" s="34" t="s">
        <v>53</v>
      </c>
      <c r="J8" s="34" t="s">
        <v>54</v>
      </c>
      <c r="K8" s="33" t="s">
        <v>61</v>
      </c>
    </row>
    <row r="9" customFormat="false" ht="15" hidden="false" customHeight="false" outlineLevel="0" collapsed="false">
      <c r="A9" s="33" t="s">
        <v>70</v>
      </c>
      <c r="B9" s="33" t="s">
        <v>71</v>
      </c>
      <c r="C9" s="34" t="s">
        <v>50</v>
      </c>
      <c r="D9" s="35" t="s">
        <v>8</v>
      </c>
      <c r="E9" s="36" t="n">
        <v>25000</v>
      </c>
      <c r="F9" s="34" t="s">
        <v>51</v>
      </c>
      <c r="G9" s="34" t="s">
        <v>51</v>
      </c>
      <c r="H9" s="34" t="s">
        <v>52</v>
      </c>
      <c r="I9" s="34" t="s">
        <v>53</v>
      </c>
      <c r="J9" s="34" t="s">
        <v>54</v>
      </c>
      <c r="K9" s="33" t="s">
        <v>55</v>
      </c>
    </row>
    <row r="10" customFormat="false" ht="15" hidden="false" customHeight="false" outlineLevel="0" collapsed="false">
      <c r="A10" s="33" t="s">
        <v>72</v>
      </c>
      <c r="B10" s="33" t="s">
        <v>73</v>
      </c>
      <c r="C10" s="34" t="s">
        <v>50</v>
      </c>
      <c r="D10" s="37" t="s">
        <v>5</v>
      </c>
      <c r="E10" s="36" t="n">
        <v>15000</v>
      </c>
      <c r="F10" s="34" t="s">
        <v>60</v>
      </c>
      <c r="G10" s="34" t="s">
        <v>60</v>
      </c>
      <c r="H10" s="34" t="s">
        <v>52</v>
      </c>
      <c r="I10" s="34" t="s">
        <v>53</v>
      </c>
      <c r="J10" s="34" t="s">
        <v>54</v>
      </c>
      <c r="K10" s="33" t="s">
        <v>61</v>
      </c>
    </row>
    <row r="11" customFormat="false" ht="15" hidden="false" customHeight="false" outlineLevel="0" collapsed="false">
      <c r="A11" s="33" t="s">
        <v>74</v>
      </c>
      <c r="B11" s="33" t="s">
        <v>75</v>
      </c>
      <c r="C11" s="34" t="s">
        <v>50</v>
      </c>
      <c r="D11" s="37" t="s">
        <v>5</v>
      </c>
      <c r="E11" s="36" t="n">
        <v>20000</v>
      </c>
      <c r="F11" s="34" t="s">
        <v>76</v>
      </c>
      <c r="G11" s="34" t="s">
        <v>76</v>
      </c>
      <c r="H11" s="34" t="s">
        <v>52</v>
      </c>
      <c r="I11" s="34" t="s">
        <v>77</v>
      </c>
      <c r="J11" s="34" t="s">
        <v>78</v>
      </c>
      <c r="K11" s="33" t="s">
        <v>61</v>
      </c>
    </row>
    <row r="12" customFormat="false" ht="15" hidden="false" customHeight="false" outlineLevel="0" collapsed="false">
      <c r="A12" s="33" t="s">
        <v>79</v>
      </c>
      <c r="B12" s="33" t="s">
        <v>80</v>
      </c>
      <c r="C12" s="34" t="s">
        <v>50</v>
      </c>
      <c r="D12" s="35" t="s">
        <v>8</v>
      </c>
      <c r="E12" s="36" t="n">
        <v>12000</v>
      </c>
      <c r="F12" s="34" t="s">
        <v>81</v>
      </c>
      <c r="G12" s="34" t="s">
        <v>81</v>
      </c>
      <c r="H12" s="34" t="s">
        <v>52</v>
      </c>
      <c r="I12" s="34" t="s">
        <v>77</v>
      </c>
      <c r="J12" s="34" t="s">
        <v>78</v>
      </c>
      <c r="K12" s="33" t="s">
        <v>55</v>
      </c>
    </row>
    <row r="13" customFormat="false" ht="15" hidden="false" customHeight="false" outlineLevel="0" collapsed="false">
      <c r="A13" s="33" t="s">
        <v>82</v>
      </c>
      <c r="B13" s="33" t="s">
        <v>83</v>
      </c>
      <c r="C13" s="34" t="s">
        <v>84</v>
      </c>
      <c r="D13" s="38" t="s">
        <v>85</v>
      </c>
      <c r="E13" s="36" t="n">
        <v>900000</v>
      </c>
      <c r="F13" s="34" t="s">
        <v>86</v>
      </c>
      <c r="G13" s="34" t="s">
        <v>86</v>
      </c>
      <c r="H13" s="34" t="s">
        <v>87</v>
      </c>
      <c r="I13" s="34" t="s">
        <v>53</v>
      </c>
      <c r="J13" s="34" t="s">
        <v>54</v>
      </c>
      <c r="K13" s="33" t="s">
        <v>88</v>
      </c>
    </row>
    <row r="14" customFormat="false" ht="15" hidden="false" customHeight="false" outlineLevel="0" collapsed="false">
      <c r="A14" s="33" t="s">
        <v>89</v>
      </c>
      <c r="B14" s="33" t="s">
        <v>90</v>
      </c>
      <c r="C14" s="34" t="s">
        <v>84</v>
      </c>
      <c r="D14" s="38" t="s">
        <v>85</v>
      </c>
      <c r="E14" s="36" t="n">
        <v>350000</v>
      </c>
      <c r="F14" s="34" t="s">
        <v>86</v>
      </c>
      <c r="G14" s="34" t="s">
        <v>86</v>
      </c>
      <c r="H14" s="34" t="s">
        <v>87</v>
      </c>
      <c r="I14" s="34" t="s">
        <v>53</v>
      </c>
      <c r="J14" s="34" t="s">
        <v>54</v>
      </c>
      <c r="K14" s="33" t="s">
        <v>88</v>
      </c>
    </row>
    <row r="15" customFormat="false" ht="15" hidden="false" customHeight="false" outlineLevel="0" collapsed="false">
      <c r="A15" s="33" t="s">
        <v>91</v>
      </c>
      <c r="B15" s="33" t="s">
        <v>92</v>
      </c>
      <c r="C15" s="34" t="s">
        <v>84</v>
      </c>
      <c r="D15" s="38" t="s">
        <v>85</v>
      </c>
      <c r="E15" s="36" t="n">
        <v>70000</v>
      </c>
      <c r="F15" s="34" t="s">
        <v>86</v>
      </c>
      <c r="G15" s="34" t="s">
        <v>86</v>
      </c>
      <c r="H15" s="34" t="s">
        <v>87</v>
      </c>
      <c r="I15" s="34" t="s">
        <v>53</v>
      </c>
      <c r="J15" s="34" t="s">
        <v>54</v>
      </c>
      <c r="K15" s="33" t="s">
        <v>88</v>
      </c>
    </row>
    <row r="16" customFormat="false" ht="15" hidden="false" customHeight="false" outlineLevel="0" collapsed="false">
      <c r="A16" s="33" t="s">
        <v>93</v>
      </c>
      <c r="B16" s="33" t="s">
        <v>94</v>
      </c>
      <c r="C16" s="34" t="s">
        <v>84</v>
      </c>
      <c r="D16" s="38" t="s">
        <v>85</v>
      </c>
      <c r="E16" s="36" t="n">
        <v>120000</v>
      </c>
      <c r="F16" s="34" t="s">
        <v>86</v>
      </c>
      <c r="G16" s="34" t="s">
        <v>86</v>
      </c>
      <c r="H16" s="34" t="s">
        <v>87</v>
      </c>
      <c r="I16" s="34" t="s">
        <v>53</v>
      </c>
      <c r="J16" s="34" t="s">
        <v>54</v>
      </c>
      <c r="K16" s="33" t="s">
        <v>88</v>
      </c>
    </row>
    <row r="17" customFormat="false" ht="15" hidden="false" customHeight="false" outlineLevel="0" collapsed="false">
      <c r="A17" s="33" t="s">
        <v>95</v>
      </c>
      <c r="B17" s="33" t="s">
        <v>96</v>
      </c>
      <c r="C17" s="34" t="s">
        <v>84</v>
      </c>
      <c r="D17" s="38" t="s">
        <v>85</v>
      </c>
      <c r="E17" s="36" t="n">
        <v>40000</v>
      </c>
      <c r="F17" s="34" t="s">
        <v>86</v>
      </c>
      <c r="G17" s="34" t="s">
        <v>86</v>
      </c>
      <c r="H17" s="34" t="s">
        <v>87</v>
      </c>
      <c r="I17" s="34" t="s">
        <v>53</v>
      </c>
      <c r="J17" s="34" t="s">
        <v>54</v>
      </c>
      <c r="K17" s="33" t="s">
        <v>88</v>
      </c>
    </row>
    <row r="18" customFormat="false" ht="15" hidden="false" customHeight="false" outlineLevel="0" collapsed="false">
      <c r="A18" s="33" t="s">
        <v>97</v>
      </c>
      <c r="B18" s="33" t="s">
        <v>98</v>
      </c>
      <c r="C18" s="34" t="s">
        <v>84</v>
      </c>
      <c r="D18" s="38" t="s">
        <v>85</v>
      </c>
      <c r="E18" s="36" t="n">
        <v>55000</v>
      </c>
      <c r="F18" s="34" t="s">
        <v>86</v>
      </c>
      <c r="G18" s="34" t="s">
        <v>86</v>
      </c>
      <c r="H18" s="34" t="s">
        <v>87</v>
      </c>
      <c r="I18" s="34" t="s">
        <v>53</v>
      </c>
      <c r="J18" s="34" t="s">
        <v>54</v>
      </c>
      <c r="K18" s="33" t="s">
        <v>88</v>
      </c>
    </row>
    <row r="19" customFormat="false" ht="15" hidden="false" customHeight="false" outlineLevel="0" collapsed="false">
      <c r="A19" s="33" t="s">
        <v>99</v>
      </c>
      <c r="B19" s="33" t="s">
        <v>100</v>
      </c>
      <c r="C19" s="34" t="s">
        <v>84</v>
      </c>
      <c r="D19" s="39" t="s">
        <v>13</v>
      </c>
      <c r="E19" s="36" t="n">
        <v>420000</v>
      </c>
      <c r="F19" s="34" t="s">
        <v>101</v>
      </c>
      <c r="G19" s="34" t="s">
        <v>101</v>
      </c>
      <c r="H19" s="34" t="s">
        <v>52</v>
      </c>
      <c r="I19" s="34" t="s">
        <v>53</v>
      </c>
      <c r="J19" s="34" t="s">
        <v>54</v>
      </c>
      <c r="K19" s="33" t="s">
        <v>102</v>
      </c>
    </row>
    <row r="20" customFormat="false" ht="15" hidden="false" customHeight="false" outlineLevel="0" collapsed="false">
      <c r="A20" s="33" t="s">
        <v>103</v>
      </c>
      <c r="B20" s="33" t="s">
        <v>104</v>
      </c>
      <c r="C20" s="34" t="s">
        <v>84</v>
      </c>
      <c r="D20" s="39" t="s">
        <v>13</v>
      </c>
      <c r="E20" s="36" t="n">
        <v>140000</v>
      </c>
      <c r="F20" s="34" t="s">
        <v>101</v>
      </c>
      <c r="G20" s="34" t="s">
        <v>101</v>
      </c>
      <c r="H20" s="34" t="s">
        <v>52</v>
      </c>
      <c r="I20" s="34" t="s">
        <v>53</v>
      </c>
      <c r="J20" s="34" t="s">
        <v>54</v>
      </c>
      <c r="K20" s="33" t="s">
        <v>102</v>
      </c>
    </row>
    <row r="21" customFormat="false" ht="15" hidden="false" customHeight="false" outlineLevel="0" collapsed="false">
      <c r="A21" s="33" t="s">
        <v>105</v>
      </c>
      <c r="B21" s="33" t="s">
        <v>106</v>
      </c>
      <c r="C21" s="34" t="s">
        <v>84</v>
      </c>
      <c r="D21" s="39" t="s">
        <v>13</v>
      </c>
      <c r="E21" s="36" t="n">
        <v>60000</v>
      </c>
      <c r="F21" s="34" t="s">
        <v>101</v>
      </c>
      <c r="G21" s="34" t="s">
        <v>101</v>
      </c>
      <c r="H21" s="34" t="s">
        <v>52</v>
      </c>
      <c r="I21" s="34" t="s">
        <v>53</v>
      </c>
      <c r="J21" s="34" t="s">
        <v>54</v>
      </c>
      <c r="K21" s="33" t="s">
        <v>102</v>
      </c>
    </row>
    <row r="22" customFormat="false" ht="15" hidden="false" customHeight="false" outlineLevel="0" collapsed="false">
      <c r="A22" s="33" t="s">
        <v>107</v>
      </c>
      <c r="B22" s="33" t="s">
        <v>108</v>
      </c>
      <c r="C22" s="34" t="s">
        <v>84</v>
      </c>
      <c r="D22" s="39" t="s">
        <v>13</v>
      </c>
      <c r="E22" s="36" t="n">
        <v>35000</v>
      </c>
      <c r="F22" s="34" t="s">
        <v>101</v>
      </c>
      <c r="G22" s="34" t="s">
        <v>101</v>
      </c>
      <c r="H22" s="34" t="s">
        <v>52</v>
      </c>
      <c r="I22" s="34" t="s">
        <v>53</v>
      </c>
      <c r="J22" s="34" t="s">
        <v>54</v>
      </c>
      <c r="K22" s="33" t="s">
        <v>102</v>
      </c>
    </row>
    <row r="23" customFormat="false" ht="15" hidden="false" customHeight="false" outlineLevel="0" collapsed="false">
      <c r="A23" s="33" t="s">
        <v>109</v>
      </c>
      <c r="B23" s="33" t="s">
        <v>110</v>
      </c>
      <c r="C23" s="34" t="s">
        <v>84</v>
      </c>
      <c r="D23" s="39" t="s">
        <v>13</v>
      </c>
      <c r="E23" s="36" t="n">
        <v>8000</v>
      </c>
      <c r="F23" s="34" t="s">
        <v>101</v>
      </c>
      <c r="G23" s="34" t="s">
        <v>101</v>
      </c>
      <c r="H23" s="34" t="s">
        <v>52</v>
      </c>
      <c r="I23" s="34" t="s">
        <v>53</v>
      </c>
      <c r="J23" s="34" t="s">
        <v>54</v>
      </c>
      <c r="K23" s="33" t="s">
        <v>102</v>
      </c>
    </row>
    <row r="24" customFormat="false" ht="15" hidden="false" customHeight="false" outlineLevel="0" collapsed="false">
      <c r="A24" s="33" t="s">
        <v>111</v>
      </c>
      <c r="B24" s="33" t="s">
        <v>112</v>
      </c>
      <c r="C24" s="34" t="s">
        <v>84</v>
      </c>
      <c r="D24" s="39" t="s">
        <v>13</v>
      </c>
      <c r="E24" s="36" t="n">
        <v>22000</v>
      </c>
      <c r="F24" s="34" t="s">
        <v>113</v>
      </c>
      <c r="G24" s="34" t="s">
        <v>113</v>
      </c>
      <c r="H24" s="34" t="s">
        <v>52</v>
      </c>
      <c r="I24" s="34" t="s">
        <v>114</v>
      </c>
      <c r="J24" s="34" t="s">
        <v>115</v>
      </c>
      <c r="K24" s="33" t="s">
        <v>102</v>
      </c>
    </row>
    <row r="25" customFormat="false" ht="15" hidden="false" customHeight="false" outlineLevel="0" collapsed="false">
      <c r="A25" s="33" t="s">
        <v>116</v>
      </c>
      <c r="B25" s="33" t="s">
        <v>117</v>
      </c>
      <c r="C25" s="34" t="s">
        <v>84</v>
      </c>
      <c r="D25" s="39" t="s">
        <v>13</v>
      </c>
      <c r="E25" s="36" t="n">
        <v>18000</v>
      </c>
      <c r="F25" s="34" t="s">
        <v>113</v>
      </c>
      <c r="G25" s="34" t="s">
        <v>113</v>
      </c>
      <c r="H25" s="34" t="s">
        <v>52</v>
      </c>
      <c r="I25" s="34" t="s">
        <v>114</v>
      </c>
      <c r="J25" s="34" t="s">
        <v>115</v>
      </c>
      <c r="K25" s="33" t="s">
        <v>102</v>
      </c>
    </row>
    <row r="26" customFormat="false" ht="15" hidden="false" customHeight="false" outlineLevel="0" collapsed="false">
      <c r="A26" s="33" t="s">
        <v>118</v>
      </c>
      <c r="B26" s="33" t="s">
        <v>119</v>
      </c>
      <c r="C26" s="34" t="s">
        <v>120</v>
      </c>
      <c r="D26" s="40" t="s">
        <v>121</v>
      </c>
      <c r="E26" s="36" t="n">
        <v>300000</v>
      </c>
      <c r="F26" s="34" t="s">
        <v>122</v>
      </c>
      <c r="G26" s="34" t="s">
        <v>122</v>
      </c>
      <c r="H26" s="34" t="s">
        <v>52</v>
      </c>
      <c r="I26" s="34" t="s">
        <v>53</v>
      </c>
      <c r="J26" s="34" t="s">
        <v>54</v>
      </c>
      <c r="K26" s="33" t="s">
        <v>123</v>
      </c>
    </row>
    <row r="27" customFormat="false" ht="15" hidden="false" customHeight="false" outlineLevel="0" collapsed="false">
      <c r="A27" s="33" t="s">
        <v>124</v>
      </c>
      <c r="B27" s="33" t="s">
        <v>125</v>
      </c>
      <c r="C27" s="34" t="s">
        <v>120</v>
      </c>
      <c r="D27" s="40" t="s">
        <v>121</v>
      </c>
      <c r="E27" s="36" t="n">
        <v>1000000</v>
      </c>
      <c r="F27" s="34" t="s">
        <v>122</v>
      </c>
      <c r="G27" s="34" t="s">
        <v>122</v>
      </c>
      <c r="H27" s="34" t="s">
        <v>52</v>
      </c>
      <c r="I27" s="34" t="s">
        <v>53</v>
      </c>
      <c r="J27" s="34" t="s">
        <v>54</v>
      </c>
      <c r="K27" s="33" t="s">
        <v>123</v>
      </c>
    </row>
    <row r="28" customFormat="false" ht="15" hidden="false" customHeight="false" outlineLevel="0" collapsed="false">
      <c r="D28" s="41" t="s">
        <v>36</v>
      </c>
      <c r="E28" s="42" t="n">
        <f aca="false">SUM(E2:E27)</f>
        <v>7535000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38"/>
    <col collapsed="false" customWidth="true" hidden="false" outlineLevel="0" max="4" min="4" style="0" width="15"/>
    <col collapsed="false" customWidth="true" hidden="false" outlineLevel="0" max="5" min="5" style="0" width="26"/>
    <col collapsed="false" customWidth="true" hidden="false" outlineLevel="0" max="6" min="6" style="0" width="50"/>
    <col collapsed="false" customWidth="true" hidden="false" outlineLevel="0" max="7" min="7" style="0" width="12"/>
    <col collapsed="false" customWidth="true" hidden="false" outlineLevel="0" max="8" min="8" style="0" width="42"/>
  </cols>
  <sheetData>
    <row r="1" customFormat="false" ht="15" hidden="false" customHeight="false" outlineLevel="0" collapsed="false">
      <c r="A1" s="13" t="s">
        <v>126</v>
      </c>
      <c r="B1" s="13" t="s">
        <v>37</v>
      </c>
      <c r="C1" s="13" t="s">
        <v>38</v>
      </c>
      <c r="D1" s="13" t="s">
        <v>3</v>
      </c>
      <c r="E1" s="13" t="s">
        <v>127</v>
      </c>
      <c r="F1" s="13" t="s">
        <v>128</v>
      </c>
      <c r="G1" s="13" t="s">
        <v>129</v>
      </c>
      <c r="H1" s="13" t="s">
        <v>130</v>
      </c>
    </row>
    <row r="2" customFormat="false" ht="43.25" hidden="false" customHeight="false" outlineLevel="0" collapsed="false">
      <c r="A2" s="43" t="n">
        <v>1</v>
      </c>
      <c r="B2" s="43" t="s">
        <v>111</v>
      </c>
      <c r="C2" s="43" t="s">
        <v>112</v>
      </c>
      <c r="D2" s="44" t="n">
        <v>22000</v>
      </c>
      <c r="E2" s="43" t="s">
        <v>131</v>
      </c>
      <c r="F2" s="45" t="s">
        <v>132</v>
      </c>
      <c r="G2" s="46" t="s">
        <v>133</v>
      </c>
      <c r="H2" s="45" t="s">
        <v>134</v>
      </c>
    </row>
    <row r="3" customFormat="false" ht="43.25" hidden="false" customHeight="false" outlineLevel="0" collapsed="false">
      <c r="A3" s="43" t="n">
        <v>2</v>
      </c>
      <c r="B3" s="43" t="s">
        <v>116</v>
      </c>
      <c r="C3" s="43" t="s">
        <v>117</v>
      </c>
      <c r="D3" s="44" t="n">
        <v>18000</v>
      </c>
      <c r="E3" s="43" t="s">
        <v>131</v>
      </c>
      <c r="F3" s="45" t="s">
        <v>132</v>
      </c>
      <c r="G3" s="46" t="s">
        <v>133</v>
      </c>
      <c r="H3" s="45" t="s">
        <v>134</v>
      </c>
    </row>
    <row r="4" customFormat="false" ht="32.8" hidden="false" customHeight="false" outlineLevel="0" collapsed="false">
      <c r="A4" s="43" t="n">
        <v>3</v>
      </c>
      <c r="B4" s="43" t="s">
        <v>74</v>
      </c>
      <c r="C4" s="43" t="s">
        <v>75</v>
      </c>
      <c r="D4" s="44" t="n">
        <v>20000</v>
      </c>
      <c r="E4" s="43" t="s">
        <v>131</v>
      </c>
      <c r="F4" s="45" t="s">
        <v>135</v>
      </c>
      <c r="G4" s="47" t="s">
        <v>136</v>
      </c>
      <c r="H4" s="45" t="s">
        <v>134</v>
      </c>
    </row>
    <row r="5" customFormat="false" ht="32.8" hidden="false" customHeight="false" outlineLevel="0" collapsed="false">
      <c r="A5" s="43" t="n">
        <v>4</v>
      </c>
      <c r="B5" s="43" t="s">
        <v>79</v>
      </c>
      <c r="C5" s="43" t="s">
        <v>80</v>
      </c>
      <c r="D5" s="44" t="n">
        <v>12000</v>
      </c>
      <c r="E5" s="43" t="s">
        <v>131</v>
      </c>
      <c r="F5" s="45" t="s">
        <v>137</v>
      </c>
      <c r="G5" s="47" t="s">
        <v>136</v>
      </c>
      <c r="H5" s="45" t="s">
        <v>134</v>
      </c>
    </row>
  </sheetData>
  <autoFilter ref="A1:H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8"/>
    <col collapsed="false" customWidth="true" hidden="false" outlineLevel="0" max="3" min="3" style="0" width="24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46"/>
    <col collapsed="false" customWidth="true" hidden="false" outlineLevel="0" max="7" min="7" style="0" width="15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15"/>
    <col collapsed="false" customWidth="true" hidden="false" outlineLevel="0" max="12" min="11" style="0" width="14"/>
  </cols>
  <sheetData>
    <row r="1" customFormat="false" ht="17.35" hidden="false" customHeight="false" outlineLevel="0" collapsed="false">
      <c r="A1" s="48" t="s">
        <v>138</v>
      </c>
    </row>
    <row r="2" customFormat="false" ht="15" hidden="false" customHeight="false" outlineLevel="0" collapsed="false">
      <c r="A2" s="49" t="s">
        <v>139</v>
      </c>
    </row>
    <row r="4" customFormat="false" ht="35.05" hidden="false" customHeight="false" outlineLevel="0" collapsed="false">
      <c r="A4" s="13" t="s">
        <v>37</v>
      </c>
      <c r="B4" s="13" t="s">
        <v>38</v>
      </c>
      <c r="C4" s="13" t="s">
        <v>40</v>
      </c>
      <c r="D4" s="13" t="s">
        <v>45</v>
      </c>
      <c r="E4" s="13" t="s">
        <v>46</v>
      </c>
      <c r="F4" s="13" t="s">
        <v>140</v>
      </c>
      <c r="G4" s="13" t="s">
        <v>3</v>
      </c>
      <c r="H4" s="13" t="s">
        <v>42</v>
      </c>
      <c r="I4" s="13" t="s">
        <v>43</v>
      </c>
      <c r="J4" s="13" t="s">
        <v>141</v>
      </c>
      <c r="K4" s="13" t="s">
        <v>142</v>
      </c>
      <c r="L4" s="13" t="s">
        <v>143</v>
      </c>
    </row>
    <row r="5" customFormat="false" ht="15" hidden="false" customHeight="false" outlineLevel="0" collapsed="false">
      <c r="A5" s="43" t="s">
        <v>48</v>
      </c>
      <c r="B5" s="43" t="s">
        <v>49</v>
      </c>
      <c r="C5" s="43" t="s">
        <v>8</v>
      </c>
      <c r="D5" s="50" t="s">
        <v>53</v>
      </c>
      <c r="E5" s="50" t="s">
        <v>54</v>
      </c>
      <c r="F5" s="45" t="s">
        <v>144</v>
      </c>
      <c r="G5" s="44" t="n">
        <v>2500000</v>
      </c>
      <c r="H5" s="50" t="s">
        <v>51</v>
      </c>
      <c r="I5" s="50" t="s">
        <v>51</v>
      </c>
      <c r="J5" s="44" t="n">
        <v>0</v>
      </c>
      <c r="K5" s="44" t="n">
        <v>16250</v>
      </c>
      <c r="L5" s="44" t="n">
        <v>75000</v>
      </c>
    </row>
    <row r="6" customFormat="false" ht="15" hidden="false" customHeight="false" outlineLevel="0" collapsed="false">
      <c r="A6" s="43" t="s">
        <v>56</v>
      </c>
      <c r="B6" s="43" t="s">
        <v>57</v>
      </c>
      <c r="C6" s="43" t="s">
        <v>8</v>
      </c>
      <c r="D6" s="50" t="s">
        <v>53</v>
      </c>
      <c r="E6" s="50" t="s">
        <v>54</v>
      </c>
      <c r="F6" s="45" t="s">
        <v>144</v>
      </c>
      <c r="G6" s="44" t="n">
        <v>800000</v>
      </c>
      <c r="H6" s="50" t="s">
        <v>51</v>
      </c>
      <c r="I6" s="50" t="s">
        <v>51</v>
      </c>
      <c r="J6" s="44" t="n">
        <v>0</v>
      </c>
      <c r="K6" s="44" t="n">
        <v>5200</v>
      </c>
      <c r="L6" s="44" t="n">
        <v>24000</v>
      </c>
    </row>
    <row r="7" customFormat="false" ht="15" hidden="false" customHeight="false" outlineLevel="0" collapsed="false">
      <c r="A7" s="43" t="s">
        <v>58</v>
      </c>
      <c r="B7" s="43" t="s">
        <v>59</v>
      </c>
      <c r="C7" s="43" t="s">
        <v>5</v>
      </c>
      <c r="D7" s="50" t="s">
        <v>53</v>
      </c>
      <c r="E7" s="50" t="s">
        <v>54</v>
      </c>
      <c r="F7" s="45" t="s">
        <v>144</v>
      </c>
      <c r="G7" s="44" t="n">
        <v>400000</v>
      </c>
      <c r="H7" s="50" t="s">
        <v>60</v>
      </c>
      <c r="I7" s="50" t="s">
        <v>60</v>
      </c>
      <c r="J7" s="44" t="n">
        <v>0</v>
      </c>
      <c r="K7" s="44" t="n">
        <v>0</v>
      </c>
      <c r="L7" s="44" t="n">
        <v>0</v>
      </c>
    </row>
    <row r="8" customFormat="false" ht="15" hidden="false" customHeight="false" outlineLevel="0" collapsed="false">
      <c r="A8" s="43" t="s">
        <v>62</v>
      </c>
      <c r="B8" s="43" t="s">
        <v>63</v>
      </c>
      <c r="C8" s="43" t="s">
        <v>5</v>
      </c>
      <c r="D8" s="50" t="s">
        <v>53</v>
      </c>
      <c r="E8" s="50" t="s">
        <v>54</v>
      </c>
      <c r="F8" s="45" t="s">
        <v>144</v>
      </c>
      <c r="G8" s="44" t="n">
        <v>60000</v>
      </c>
      <c r="H8" s="50" t="s">
        <v>51</v>
      </c>
      <c r="I8" s="50" t="s">
        <v>51</v>
      </c>
      <c r="J8" s="44" t="n">
        <v>0</v>
      </c>
      <c r="K8" s="44" t="n">
        <v>0</v>
      </c>
      <c r="L8" s="44" t="n">
        <v>0</v>
      </c>
    </row>
    <row r="9" customFormat="false" ht="15" hidden="false" customHeight="false" outlineLevel="0" collapsed="false">
      <c r="A9" s="43" t="s">
        <v>64</v>
      </c>
      <c r="B9" s="43" t="s">
        <v>65</v>
      </c>
      <c r="C9" s="43" t="s">
        <v>5</v>
      </c>
      <c r="D9" s="50" t="s">
        <v>53</v>
      </c>
      <c r="E9" s="50" t="s">
        <v>54</v>
      </c>
      <c r="F9" s="45" t="s">
        <v>144</v>
      </c>
      <c r="G9" s="44" t="n">
        <v>45000</v>
      </c>
      <c r="H9" s="50" t="s">
        <v>51</v>
      </c>
      <c r="I9" s="50" t="s">
        <v>51</v>
      </c>
      <c r="J9" s="44" t="n">
        <v>0</v>
      </c>
      <c r="K9" s="44" t="n">
        <v>0</v>
      </c>
      <c r="L9" s="44" t="n">
        <v>0</v>
      </c>
    </row>
    <row r="10" customFormat="false" ht="15" hidden="false" customHeight="false" outlineLevel="0" collapsed="false">
      <c r="A10" s="43" t="s">
        <v>66</v>
      </c>
      <c r="B10" s="43" t="s">
        <v>67</v>
      </c>
      <c r="C10" s="43" t="s">
        <v>5</v>
      </c>
      <c r="D10" s="50" t="s">
        <v>53</v>
      </c>
      <c r="E10" s="50" t="s">
        <v>54</v>
      </c>
      <c r="F10" s="45" t="s">
        <v>144</v>
      </c>
      <c r="G10" s="44" t="n">
        <v>90000</v>
      </c>
      <c r="H10" s="50" t="s">
        <v>51</v>
      </c>
      <c r="I10" s="50" t="s">
        <v>51</v>
      </c>
      <c r="J10" s="44" t="n">
        <v>0</v>
      </c>
      <c r="K10" s="44" t="n">
        <v>0</v>
      </c>
      <c r="L10" s="44" t="n">
        <v>0</v>
      </c>
    </row>
    <row r="11" customFormat="false" ht="15" hidden="false" customHeight="false" outlineLevel="0" collapsed="false">
      <c r="A11" s="43" t="s">
        <v>68</v>
      </c>
      <c r="B11" s="43" t="s">
        <v>69</v>
      </c>
      <c r="C11" s="43" t="s">
        <v>5</v>
      </c>
      <c r="D11" s="50" t="s">
        <v>53</v>
      </c>
      <c r="E11" s="50" t="s">
        <v>54</v>
      </c>
      <c r="F11" s="45" t="s">
        <v>144</v>
      </c>
      <c r="G11" s="44" t="n">
        <v>30000</v>
      </c>
      <c r="H11" s="50" t="s">
        <v>51</v>
      </c>
      <c r="I11" s="50" t="s">
        <v>51</v>
      </c>
      <c r="J11" s="44" t="n">
        <v>0</v>
      </c>
      <c r="K11" s="44" t="n">
        <v>0</v>
      </c>
      <c r="L11" s="44" t="n">
        <v>0</v>
      </c>
    </row>
    <row r="12" customFormat="false" ht="15" hidden="false" customHeight="false" outlineLevel="0" collapsed="false">
      <c r="A12" s="43" t="s">
        <v>70</v>
      </c>
      <c r="B12" s="43" t="s">
        <v>71</v>
      </c>
      <c r="C12" s="43" t="s">
        <v>8</v>
      </c>
      <c r="D12" s="50" t="s">
        <v>53</v>
      </c>
      <c r="E12" s="50" t="s">
        <v>54</v>
      </c>
      <c r="F12" s="45" t="s">
        <v>144</v>
      </c>
      <c r="G12" s="44" t="n">
        <v>25000</v>
      </c>
      <c r="H12" s="50" t="s">
        <v>51</v>
      </c>
      <c r="I12" s="50" t="s">
        <v>51</v>
      </c>
      <c r="J12" s="44" t="n">
        <v>0</v>
      </c>
      <c r="K12" s="44" t="n">
        <v>162.5</v>
      </c>
      <c r="L12" s="44" t="n">
        <v>750</v>
      </c>
    </row>
    <row r="13" customFormat="false" ht="15" hidden="false" customHeight="false" outlineLevel="0" collapsed="false">
      <c r="A13" s="43" t="s">
        <v>72</v>
      </c>
      <c r="B13" s="43" t="s">
        <v>73</v>
      </c>
      <c r="C13" s="43" t="s">
        <v>5</v>
      </c>
      <c r="D13" s="50" t="s">
        <v>53</v>
      </c>
      <c r="E13" s="50" t="s">
        <v>54</v>
      </c>
      <c r="F13" s="45" t="s">
        <v>144</v>
      </c>
      <c r="G13" s="44" t="n">
        <v>15000</v>
      </c>
      <c r="H13" s="50" t="s">
        <v>60</v>
      </c>
      <c r="I13" s="50" t="s">
        <v>60</v>
      </c>
      <c r="J13" s="44" t="n">
        <v>0</v>
      </c>
      <c r="K13" s="44" t="n">
        <v>0</v>
      </c>
      <c r="L13" s="44" t="n">
        <v>0</v>
      </c>
    </row>
    <row r="14" customFormat="false" ht="15" hidden="false" customHeight="false" outlineLevel="0" collapsed="false">
      <c r="A14" s="43" t="s">
        <v>74</v>
      </c>
      <c r="B14" s="43" t="s">
        <v>75</v>
      </c>
      <c r="C14" s="43" t="s">
        <v>5</v>
      </c>
      <c r="D14" s="50" t="s">
        <v>77</v>
      </c>
      <c r="E14" s="51" t="s">
        <v>78</v>
      </c>
      <c r="F14" s="45" t="s">
        <v>145</v>
      </c>
      <c r="G14" s="44" t="n">
        <v>20000</v>
      </c>
      <c r="H14" s="50" t="s">
        <v>76</v>
      </c>
      <c r="I14" s="50" t="s">
        <v>76</v>
      </c>
      <c r="J14" s="44" t="n">
        <v>0</v>
      </c>
      <c r="K14" s="44" t="n">
        <v>0</v>
      </c>
      <c r="L14" s="44" t="n">
        <v>0</v>
      </c>
    </row>
    <row r="15" customFormat="false" ht="15" hidden="false" customHeight="false" outlineLevel="0" collapsed="false">
      <c r="A15" s="43" t="s">
        <v>79</v>
      </c>
      <c r="B15" s="43" t="s">
        <v>80</v>
      </c>
      <c r="C15" s="43" t="s">
        <v>8</v>
      </c>
      <c r="D15" s="50" t="s">
        <v>77</v>
      </c>
      <c r="E15" s="51" t="s">
        <v>78</v>
      </c>
      <c r="F15" s="45" t="s">
        <v>146</v>
      </c>
      <c r="G15" s="44" t="n">
        <v>12000</v>
      </c>
      <c r="H15" s="50" t="s">
        <v>81</v>
      </c>
      <c r="I15" s="50" t="s">
        <v>81</v>
      </c>
      <c r="J15" s="44" t="n">
        <v>0</v>
      </c>
      <c r="K15" s="44" t="n">
        <v>78</v>
      </c>
      <c r="L15" s="44" t="n">
        <v>360</v>
      </c>
    </row>
    <row r="16" customFormat="false" ht="15" hidden="false" customHeight="false" outlineLevel="0" collapsed="false">
      <c r="A16" s="43" t="s">
        <v>82</v>
      </c>
      <c r="B16" s="43" t="s">
        <v>83</v>
      </c>
      <c r="C16" s="43" t="s">
        <v>85</v>
      </c>
      <c r="D16" s="50" t="s">
        <v>53</v>
      </c>
      <c r="E16" s="50" t="s">
        <v>54</v>
      </c>
      <c r="F16" s="45" t="s">
        <v>144</v>
      </c>
      <c r="G16" s="44" t="n">
        <v>900000</v>
      </c>
      <c r="H16" s="50" t="s">
        <v>86</v>
      </c>
      <c r="I16" s="50" t="s">
        <v>86</v>
      </c>
      <c r="J16" s="44" t="n">
        <v>0</v>
      </c>
      <c r="K16" s="44" t="n">
        <v>0</v>
      </c>
      <c r="L16" s="44" t="n">
        <v>0</v>
      </c>
    </row>
    <row r="17" customFormat="false" ht="15" hidden="false" customHeight="false" outlineLevel="0" collapsed="false">
      <c r="A17" s="43" t="s">
        <v>89</v>
      </c>
      <c r="B17" s="43" t="s">
        <v>90</v>
      </c>
      <c r="C17" s="43" t="s">
        <v>85</v>
      </c>
      <c r="D17" s="50" t="s">
        <v>53</v>
      </c>
      <c r="E17" s="50" t="s">
        <v>54</v>
      </c>
      <c r="F17" s="45" t="s">
        <v>144</v>
      </c>
      <c r="G17" s="44" t="n">
        <v>350000</v>
      </c>
      <c r="H17" s="50" t="s">
        <v>86</v>
      </c>
      <c r="I17" s="50" t="s">
        <v>86</v>
      </c>
      <c r="J17" s="44" t="n">
        <v>0</v>
      </c>
      <c r="K17" s="44" t="n">
        <v>0</v>
      </c>
      <c r="L17" s="44" t="n">
        <v>0</v>
      </c>
    </row>
    <row r="18" customFormat="false" ht="15" hidden="false" customHeight="false" outlineLevel="0" collapsed="false">
      <c r="A18" s="43" t="s">
        <v>91</v>
      </c>
      <c r="B18" s="43" t="s">
        <v>92</v>
      </c>
      <c r="C18" s="43" t="s">
        <v>85</v>
      </c>
      <c r="D18" s="50" t="s">
        <v>53</v>
      </c>
      <c r="E18" s="50" t="s">
        <v>54</v>
      </c>
      <c r="F18" s="45" t="s">
        <v>144</v>
      </c>
      <c r="G18" s="44" t="n">
        <v>70000</v>
      </c>
      <c r="H18" s="50" t="s">
        <v>86</v>
      </c>
      <c r="I18" s="50" t="s">
        <v>86</v>
      </c>
      <c r="J18" s="44" t="n">
        <v>0</v>
      </c>
      <c r="K18" s="44" t="n">
        <v>0</v>
      </c>
      <c r="L18" s="44" t="n">
        <v>0</v>
      </c>
    </row>
    <row r="19" customFormat="false" ht="15" hidden="false" customHeight="false" outlineLevel="0" collapsed="false">
      <c r="A19" s="43" t="s">
        <v>93</v>
      </c>
      <c r="B19" s="43" t="s">
        <v>94</v>
      </c>
      <c r="C19" s="43" t="s">
        <v>85</v>
      </c>
      <c r="D19" s="50" t="s">
        <v>53</v>
      </c>
      <c r="E19" s="50" t="s">
        <v>54</v>
      </c>
      <c r="F19" s="45" t="s">
        <v>144</v>
      </c>
      <c r="G19" s="44" t="n">
        <v>120000</v>
      </c>
      <c r="H19" s="50" t="s">
        <v>86</v>
      </c>
      <c r="I19" s="50" t="s">
        <v>86</v>
      </c>
      <c r="J19" s="44" t="n">
        <v>0</v>
      </c>
      <c r="K19" s="44" t="n">
        <v>0</v>
      </c>
      <c r="L19" s="44" t="n">
        <v>0</v>
      </c>
    </row>
    <row r="20" customFormat="false" ht="15" hidden="false" customHeight="false" outlineLevel="0" collapsed="false">
      <c r="A20" s="43" t="s">
        <v>95</v>
      </c>
      <c r="B20" s="43" t="s">
        <v>96</v>
      </c>
      <c r="C20" s="43" t="s">
        <v>85</v>
      </c>
      <c r="D20" s="50" t="s">
        <v>53</v>
      </c>
      <c r="E20" s="50" t="s">
        <v>54</v>
      </c>
      <c r="F20" s="45" t="s">
        <v>144</v>
      </c>
      <c r="G20" s="44" t="n">
        <v>40000</v>
      </c>
      <c r="H20" s="50" t="s">
        <v>86</v>
      </c>
      <c r="I20" s="50" t="s">
        <v>86</v>
      </c>
      <c r="J20" s="44" t="n">
        <v>0</v>
      </c>
      <c r="K20" s="44" t="n">
        <v>0</v>
      </c>
      <c r="L20" s="44" t="n">
        <v>0</v>
      </c>
    </row>
    <row r="21" customFormat="false" ht="15" hidden="false" customHeight="false" outlineLevel="0" collapsed="false">
      <c r="A21" s="43" t="s">
        <v>97</v>
      </c>
      <c r="B21" s="43" t="s">
        <v>98</v>
      </c>
      <c r="C21" s="43" t="s">
        <v>85</v>
      </c>
      <c r="D21" s="50" t="s">
        <v>53</v>
      </c>
      <c r="E21" s="50" t="s">
        <v>54</v>
      </c>
      <c r="F21" s="45" t="s">
        <v>144</v>
      </c>
      <c r="G21" s="44" t="n">
        <v>55000</v>
      </c>
      <c r="H21" s="50" t="s">
        <v>86</v>
      </c>
      <c r="I21" s="50" t="s">
        <v>86</v>
      </c>
      <c r="J21" s="44" t="n">
        <v>0</v>
      </c>
      <c r="K21" s="44" t="n">
        <v>0</v>
      </c>
      <c r="L21" s="44" t="n">
        <v>0</v>
      </c>
    </row>
    <row r="22" customFormat="false" ht="15" hidden="false" customHeight="false" outlineLevel="0" collapsed="false">
      <c r="A22" s="43" t="s">
        <v>99</v>
      </c>
      <c r="B22" s="43" t="s">
        <v>100</v>
      </c>
      <c r="C22" s="43" t="s">
        <v>13</v>
      </c>
      <c r="D22" s="50" t="s">
        <v>53</v>
      </c>
      <c r="E22" s="50" t="s">
        <v>54</v>
      </c>
      <c r="F22" s="45" t="s">
        <v>144</v>
      </c>
      <c r="G22" s="44" t="n">
        <v>420000</v>
      </c>
      <c r="H22" s="50" t="s">
        <v>101</v>
      </c>
      <c r="I22" s="50" t="s">
        <v>101</v>
      </c>
      <c r="J22" s="44" t="n">
        <v>0</v>
      </c>
      <c r="K22" s="44" t="n">
        <v>0</v>
      </c>
      <c r="L22" s="44" t="n">
        <v>0</v>
      </c>
    </row>
    <row r="23" customFormat="false" ht="15" hidden="false" customHeight="false" outlineLevel="0" collapsed="false">
      <c r="A23" s="43" t="s">
        <v>103</v>
      </c>
      <c r="B23" s="43" t="s">
        <v>104</v>
      </c>
      <c r="C23" s="43" t="s">
        <v>13</v>
      </c>
      <c r="D23" s="50" t="s">
        <v>53</v>
      </c>
      <c r="E23" s="50" t="s">
        <v>54</v>
      </c>
      <c r="F23" s="45" t="s">
        <v>144</v>
      </c>
      <c r="G23" s="44" t="n">
        <v>140000</v>
      </c>
      <c r="H23" s="50" t="s">
        <v>101</v>
      </c>
      <c r="I23" s="50" t="s">
        <v>101</v>
      </c>
      <c r="J23" s="44" t="n">
        <v>0</v>
      </c>
      <c r="K23" s="44" t="n">
        <v>0</v>
      </c>
      <c r="L23" s="44" t="n">
        <v>0</v>
      </c>
    </row>
    <row r="24" customFormat="false" ht="15" hidden="false" customHeight="false" outlineLevel="0" collapsed="false">
      <c r="A24" s="43" t="s">
        <v>105</v>
      </c>
      <c r="B24" s="43" t="s">
        <v>106</v>
      </c>
      <c r="C24" s="43" t="s">
        <v>13</v>
      </c>
      <c r="D24" s="50" t="s">
        <v>53</v>
      </c>
      <c r="E24" s="50" t="s">
        <v>54</v>
      </c>
      <c r="F24" s="45" t="s">
        <v>144</v>
      </c>
      <c r="G24" s="44" t="n">
        <v>60000</v>
      </c>
      <c r="H24" s="50" t="s">
        <v>101</v>
      </c>
      <c r="I24" s="50" t="s">
        <v>101</v>
      </c>
      <c r="J24" s="44" t="n">
        <v>0</v>
      </c>
      <c r="K24" s="44" t="n">
        <v>0</v>
      </c>
      <c r="L24" s="44" t="n">
        <v>0</v>
      </c>
    </row>
    <row r="25" customFormat="false" ht="15" hidden="false" customHeight="false" outlineLevel="0" collapsed="false">
      <c r="A25" s="43" t="s">
        <v>107</v>
      </c>
      <c r="B25" s="43" t="s">
        <v>108</v>
      </c>
      <c r="C25" s="43" t="s">
        <v>13</v>
      </c>
      <c r="D25" s="50" t="s">
        <v>53</v>
      </c>
      <c r="E25" s="50" t="s">
        <v>54</v>
      </c>
      <c r="F25" s="45" t="s">
        <v>144</v>
      </c>
      <c r="G25" s="44" t="n">
        <v>35000</v>
      </c>
      <c r="H25" s="50" t="s">
        <v>101</v>
      </c>
      <c r="I25" s="50" t="s">
        <v>101</v>
      </c>
      <c r="J25" s="44" t="n">
        <v>0</v>
      </c>
      <c r="K25" s="44" t="n">
        <v>0</v>
      </c>
      <c r="L25" s="44" t="n">
        <v>0</v>
      </c>
    </row>
    <row r="26" customFormat="false" ht="15" hidden="false" customHeight="false" outlineLevel="0" collapsed="false">
      <c r="A26" s="43" t="s">
        <v>109</v>
      </c>
      <c r="B26" s="43" t="s">
        <v>110</v>
      </c>
      <c r="C26" s="43" t="s">
        <v>13</v>
      </c>
      <c r="D26" s="50" t="s">
        <v>53</v>
      </c>
      <c r="E26" s="50" t="s">
        <v>54</v>
      </c>
      <c r="F26" s="45" t="s">
        <v>144</v>
      </c>
      <c r="G26" s="44" t="n">
        <v>8000</v>
      </c>
      <c r="H26" s="50" t="s">
        <v>101</v>
      </c>
      <c r="I26" s="50" t="s">
        <v>101</v>
      </c>
      <c r="J26" s="44" t="n">
        <v>0</v>
      </c>
      <c r="K26" s="44" t="n">
        <v>0</v>
      </c>
      <c r="L26" s="44" t="n">
        <v>0</v>
      </c>
    </row>
    <row r="27" customFormat="false" ht="22.35" hidden="false" customHeight="false" outlineLevel="0" collapsed="false">
      <c r="A27" s="43" t="s">
        <v>111</v>
      </c>
      <c r="B27" s="43" t="s">
        <v>112</v>
      </c>
      <c r="C27" s="43" t="s">
        <v>13</v>
      </c>
      <c r="D27" s="50" t="s">
        <v>114</v>
      </c>
      <c r="E27" s="52" t="s">
        <v>115</v>
      </c>
      <c r="F27" s="45" t="s">
        <v>147</v>
      </c>
      <c r="G27" s="44" t="n">
        <v>22000</v>
      </c>
      <c r="H27" s="50" t="s">
        <v>113</v>
      </c>
      <c r="I27" s="50" t="s">
        <v>113</v>
      </c>
      <c r="J27" s="44" t="n">
        <v>0</v>
      </c>
      <c r="K27" s="44" t="n">
        <v>0</v>
      </c>
      <c r="L27" s="44" t="n">
        <v>0</v>
      </c>
    </row>
    <row r="28" customFormat="false" ht="22.35" hidden="false" customHeight="false" outlineLevel="0" collapsed="false">
      <c r="A28" s="43" t="s">
        <v>116</v>
      </c>
      <c r="B28" s="43" t="s">
        <v>117</v>
      </c>
      <c r="C28" s="43" t="s">
        <v>13</v>
      </c>
      <c r="D28" s="50" t="s">
        <v>114</v>
      </c>
      <c r="E28" s="52" t="s">
        <v>115</v>
      </c>
      <c r="F28" s="45" t="s">
        <v>147</v>
      </c>
      <c r="G28" s="44" t="n">
        <v>18000</v>
      </c>
      <c r="H28" s="50" t="s">
        <v>113</v>
      </c>
      <c r="I28" s="50" t="s">
        <v>113</v>
      </c>
      <c r="J28" s="44" t="n">
        <v>0</v>
      </c>
      <c r="K28" s="44" t="n">
        <v>0</v>
      </c>
      <c r="L28" s="44" t="n">
        <v>0</v>
      </c>
    </row>
    <row r="29" customFormat="false" ht="15" hidden="false" customHeight="false" outlineLevel="0" collapsed="false">
      <c r="A29" s="43" t="s">
        <v>118</v>
      </c>
      <c r="B29" s="43" t="s">
        <v>119</v>
      </c>
      <c r="C29" s="43" t="s">
        <v>121</v>
      </c>
      <c r="D29" s="50" t="s">
        <v>53</v>
      </c>
      <c r="E29" s="50" t="s">
        <v>54</v>
      </c>
      <c r="F29" s="45" t="s">
        <v>144</v>
      </c>
      <c r="G29" s="44" t="n">
        <v>300000</v>
      </c>
      <c r="H29" s="50" t="s">
        <v>122</v>
      </c>
      <c r="I29" s="50" t="s">
        <v>122</v>
      </c>
      <c r="J29" s="44" t="n">
        <v>0</v>
      </c>
      <c r="K29" s="44" t="n">
        <v>0</v>
      </c>
      <c r="L29" s="44" t="n">
        <v>0</v>
      </c>
    </row>
    <row r="30" customFormat="false" ht="15" hidden="false" customHeight="false" outlineLevel="0" collapsed="false">
      <c r="A30" s="43" t="s">
        <v>124</v>
      </c>
      <c r="B30" s="43" t="s">
        <v>125</v>
      </c>
      <c r="C30" s="43" t="s">
        <v>121</v>
      </c>
      <c r="D30" s="50" t="s">
        <v>53</v>
      </c>
      <c r="E30" s="50" t="s">
        <v>54</v>
      </c>
      <c r="F30" s="45" t="s">
        <v>144</v>
      </c>
      <c r="G30" s="44" t="n">
        <v>1000000</v>
      </c>
      <c r="H30" s="50" t="s">
        <v>122</v>
      </c>
      <c r="I30" s="50" t="s">
        <v>122</v>
      </c>
      <c r="J30" s="44" t="n">
        <v>0</v>
      </c>
      <c r="K30" s="44" t="n">
        <v>0</v>
      </c>
      <c r="L30" s="44" t="n">
        <v>0</v>
      </c>
    </row>
    <row r="31" customFormat="false" ht="15" hidden="false" customHeight="false" outlineLevel="0" collapsed="false">
      <c r="F31" s="21" t="s">
        <v>148</v>
      </c>
      <c r="G31" s="53" t="n">
        <f aca="false">SUM(G5:G30)</f>
        <v>7535000</v>
      </c>
      <c r="J31" s="53" t="n">
        <f aca="false">SUM(J5:J30)</f>
        <v>0</v>
      </c>
      <c r="K31" s="53" t="n">
        <f aca="false">SUM(K5:K30)</f>
        <v>21690.5</v>
      </c>
      <c r="L31" s="53" t="n">
        <f aca="false">SUM(L5:L30)</f>
        <v>100110</v>
      </c>
    </row>
  </sheetData>
  <autoFilter ref="A4:L3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2026-08-11T13:32:07Z</dcterms:created>
  <dc:creator>openpyxl</dc:creator>
  <dc:description/>
  <dc:language>en-US</dc:language>
  <cp:lastModifiedBy/>
  <dcterms:modified xsi:type="dcterms:W3CDTF">2026-08-11T13:32:25Z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